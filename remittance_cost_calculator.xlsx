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ochirgarditugsbilguun/Downloads/"/>
    </mc:Choice>
  </mc:AlternateContent>
  <xr:revisionPtr revIDLastSave="0" documentId="13_ncr:1_{60A75998-89D3-AE41-B953-9309965290AD}" xr6:coauthVersionLast="47" xr6:coauthVersionMax="47" xr10:uidLastSave="{00000000-0000-0000-0000-000000000000}"/>
  <bookViews>
    <workbookView xWindow="0" yWindow="0" windowWidth="28800" windowHeight="18000" tabRatio="500" xr2:uid="{00000000-000D-0000-FFFF-FFFF00000000}"/>
  </bookViews>
  <sheets>
    <sheet name="Assumptions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45" i="1" l="1"/>
  <c r="D46" i="1"/>
  <c r="B43" i="1"/>
  <c r="E28" i="1"/>
  <c r="D28" i="1"/>
  <c r="B15" i="1"/>
  <c r="D15" i="1" s="1"/>
  <c r="D36" i="1"/>
  <c r="D37" i="1"/>
  <c r="D38" i="1"/>
  <c r="D39" i="1"/>
  <c r="D35" i="1"/>
  <c r="D14" i="1"/>
  <c r="B25" i="1"/>
  <c r="E30" i="1" s="1"/>
  <c r="B20" i="1"/>
  <c r="B21" i="1" s="1"/>
  <c r="B14" i="1"/>
  <c r="E14" i="1" s="1"/>
  <c r="D21" i="1" l="1"/>
  <c r="D29" i="1" s="1"/>
  <c r="E21" i="1"/>
  <c r="E29" i="1" s="1"/>
  <c r="E31" i="1" s="1"/>
  <c r="D30" i="1"/>
  <c r="D31" i="1" l="1"/>
  <c r="D47" i="1" l="1"/>
  <c r="D43" i="1"/>
</calcChain>
</file>

<file path=xl/sharedStrings.xml><?xml version="1.0" encoding="utf-8"?>
<sst xmlns="http://schemas.openxmlformats.org/spreadsheetml/2006/main" count="83" uniqueCount="80">
  <si>
    <t>South Korea → Vietnam: Stablecoin vs. Traditional Remittance Cost Calculator</t>
  </si>
  <si>
    <t>Parameter</t>
  </si>
  <si>
    <t>Value</t>
  </si>
  <si>
    <t>Unit</t>
  </si>
  <si>
    <t>Cost ($)</t>
  </si>
  <si>
    <t>Cost (%)</t>
  </si>
  <si>
    <t>Source / Note</t>
  </si>
  <si>
    <t>A. Transfer Amount</t>
  </si>
  <si>
    <t>Transfer amount (USD)</t>
  </si>
  <si>
    <t>USD</t>
  </si>
  <si>
    <t>B. Reference Exchange Rates (mid-market)</t>
  </si>
  <si>
    <t>KRW/USD mid-market rate</t>
  </si>
  <si>
    <t>KRW per USD</t>
  </si>
  <si>
    <t>VND/USD mid-market rate</t>
  </si>
  <si>
    <t>VND per USD</t>
  </si>
  <si>
    <t>C. Layer 1 — Buy USDT with KRW (on-ramp, South Korea)</t>
  </si>
  <si>
    <t>KRW per USDT</t>
  </si>
  <si>
    <t>KRW/USD spread</t>
  </si>
  <si>
    <t>decimal</t>
  </si>
  <si>
    <t>Formula: (P2P price − mid-market) / mid-market</t>
  </si>
  <si>
    <t>D. Layer 2 — TRC-20 On-Chain Transfer Fee</t>
  </si>
  <si>
    <t>TRX price (USD)</t>
  </si>
  <si>
    <t>USD per TRX</t>
  </si>
  <si>
    <t>Energy units required</t>
  </si>
  <si>
    <t>energy units</t>
  </si>
  <si>
    <t>65,000 if recipient wallet non-empty; 130,000 if new wallet (assumption: non-empty)</t>
  </si>
  <si>
    <t>TRX burned for energy</t>
  </si>
  <si>
    <t>TRX</t>
  </si>
  <si>
    <t>Tron network: 0.0001 TRX per energy unit (post-Proposal #104, Aug 2025)</t>
  </si>
  <si>
    <t>On-chain fee</t>
  </si>
  <si>
    <t>Source: gasfeesnow.com; tronscan.org; post-Proposal #104 fee reduction</t>
  </si>
  <si>
    <t>E. Layer 3 — Sell USDT for VND (off-ramp, Vietnam)</t>
  </si>
  <si>
    <t>Binance P2P avg buy price (top 5 merchants)</t>
  </si>
  <si>
    <t>VND per USDT</t>
  </si>
  <si>
    <t>VND/USD spread</t>
  </si>
  <si>
    <t>F. Total Stablecoin Transfer Cost</t>
  </si>
  <si>
    <t>Layer 1: KRW on-ramp spread</t>
  </si>
  <si>
    <t>Layer 2: On-chain fee</t>
  </si>
  <si>
    <t>Layer 3: VND off-ramp spread</t>
  </si>
  <si>
    <t>TOTAL STABLECOIN COST</t>
  </si>
  <si>
    <t>G. RPW Traditional Channel Comparison (Q1 2025, $200, South Korea → Vietnam)</t>
  </si>
  <si>
    <t>Provider</t>
  </si>
  <si>
    <t>Total cost (%)</t>
  </si>
  <si>
    <t>Total cost ($)</t>
  </si>
  <si>
    <t>Notes</t>
  </si>
  <si>
    <t>Woori Bank (internet)</t>
  </si>
  <si>
    <t>Best available — digital, 2 days</t>
  </si>
  <si>
    <t>Industrial Bank of Korea (internet)</t>
  </si>
  <si>
    <t>Digital, 2 days</t>
  </si>
  <si>
    <t>Korea Post Office (internet)</t>
  </si>
  <si>
    <t>Digital, 3-5 days</t>
  </si>
  <si>
    <t>Corridor average (all providers)</t>
  </si>
  <si>
    <t>RPW headline figure — simple average</t>
  </si>
  <si>
    <t>Western Union (cash agent)</t>
  </si>
  <si>
    <t>Most expensive — cash, under 1 hour</t>
  </si>
  <si>
    <t>H. Summary: Stablecoin vs. Best Traditional Option</t>
  </si>
  <si>
    <t>Stablecoin total cost (%)</t>
  </si>
  <si>
    <t>Best traditional option: Woori Bank online (%)</t>
  </si>
  <si>
    <t>Corridor average (%)</t>
  </si>
  <si>
    <t>Stablecoin vs. corridor average (saving)</t>
  </si>
  <si>
    <t>Stablecoin vs. best traditional (difference)</t>
  </si>
  <si>
    <t>Positive = stablecoin is MORE expensive than Woori Bank online</t>
  </si>
  <si>
    <t>I. Key Assumptions and Limitations</t>
  </si>
  <si>
    <t>2. Recipient wallet already holds some USDT — uses 65,000 energy units (not 130,000 for new wallets)</t>
  </si>
  <si>
    <t xml:space="preserve">Transfer amount: $200 USD equivalent  |  Data collected: March 2025 </t>
  </si>
  <si>
    <t>Source: Google Finance 'USD/KRW'  on March 27,2025</t>
  </si>
  <si>
    <t>Source: Google Finance 'USD/VND' on March 27, 2025</t>
  </si>
  <si>
    <t>KuCoin P2P avg price</t>
  </si>
  <si>
    <t>Platform fee</t>
  </si>
  <si>
    <t>The P2P market price should reflect the true market-clearing rate for dollars in Vietnam, which is in practice, higher than the official rate that Google Finance tracks</t>
  </si>
  <si>
    <t xml:space="preserve">Source: CoinGecko </t>
  </si>
  <si>
    <t>Source: World Bank Remittance Prices Worldwide, https://remittanceprices.worldbank.org/corridor/South-Korea/Vietnam?start_date=1751328000&amp;end_date=1759276799, Q3 2025 (collected Aug 18–20, 2025)</t>
  </si>
  <si>
    <t>KuCoin P2P charges 0.1% fee</t>
  </si>
  <si>
    <t>1. Sender has a verified KuCoin, Binance account and Korean bank account (excludes unbanked users and KYC delays)</t>
  </si>
  <si>
    <t>3. TRC-20 network used (Tron), not ERC-20 (Ethereum)</t>
  </si>
  <si>
    <t>4. P2P spreads are averages of top-5 merchants at time of observation (actual spread varies by merchant, time, and payment method)</t>
  </si>
  <si>
    <t>5. Vietnam: State Bank of Vietnam restricts crypto as legal tender; P2P operates in regulatory grey zone (actual access may vary)</t>
  </si>
  <si>
    <t>6. Doesn't account for non-monetary costs: setup time, failed transactions, learning curve, counterparty risk on P2P</t>
  </si>
  <si>
    <t>7. RPW data collected Aug 18–20 2025 (Q3 2025)</t>
  </si>
  <si>
    <t>Positive = stablecoin is MORE expensive than Corridor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</si>
</sst>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0.00\%"/>
  </numFmts>
  <fonts count="15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3"/>
      <color rgb="FFFFFFFF"/>
      <name val="Cambria"/>
      <family val="1"/>
    </font>
    <font>
      <i/>
      <sz val="9"/>
      <color rgb="FF404040"/>
      <name val="Cambria"/>
      <family val="1"/>
    </font>
    <font>
      <b/>
      <sz val="11"/>
      <color rgb="FFFFFFFF"/>
      <name val="Cambria"/>
      <family val="1"/>
    </font>
    <font>
      <b/>
      <sz val="10"/>
      <color rgb="FFFFFFFF"/>
      <name val="Cambria"/>
      <family val="1"/>
    </font>
    <font>
      <sz val="10"/>
      <color rgb="FF000000"/>
      <name val="Cambria"/>
      <family val="1"/>
    </font>
    <font>
      <sz val="10"/>
      <color rgb="FF0000FF"/>
      <name val="Cambria"/>
      <family val="1"/>
    </font>
    <font>
      <i/>
      <sz val="8"/>
      <color rgb="FF808080"/>
      <name val="Cambria"/>
      <family val="1"/>
    </font>
    <font>
      <i/>
      <sz val="9"/>
      <color rgb="FF808080"/>
      <name val="Cambria"/>
      <family val="1"/>
    </font>
    <font>
      <b/>
      <sz val="11"/>
      <name val="Cambria"/>
      <family val="1"/>
    </font>
    <font>
      <b/>
      <sz val="9"/>
      <color rgb="FF1F4E79"/>
      <name val="Cambria"/>
      <family val="1"/>
    </font>
    <font>
      <sz val="10"/>
      <name val="Cambria"/>
      <family val="1"/>
    </font>
    <font>
      <sz val="9"/>
      <color rgb="FF404040"/>
      <name val="Cambria"/>
      <family val="1"/>
    </font>
    <font>
      <sz val="11"/>
      <color rgb="FFC00000"/>
      <name val="Cambria"/>
      <family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EBF3FB"/>
        <bgColor rgb="FFFFFFFF"/>
      </patternFill>
    </fill>
    <fill>
      <patternFill patternType="solid">
        <fgColor rgb="FFFFF2CC"/>
        <bgColor rgb="FFEBF3F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Border="0" applyAlignment="0" applyProtection="0"/>
  </cellStyleXfs>
  <cellXfs count="21">
    <xf numFmtId="0" fontId="0" fillId="0" borderId="0" xfId="0"/>
    <xf numFmtId="0" fontId="13" fillId="0" borderId="0" xfId="0" applyFont="1"/>
    <xf numFmtId="0" fontId="5" fillId="3" borderId="0" xfId="0" applyFont="1" applyFill="1" applyAlignment="1">
      <alignment horizontal="left"/>
    </xf>
    <xf numFmtId="0" fontId="3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6" fillId="0" borderId="0" xfId="0" applyFont="1"/>
    <xf numFmtId="0" fontId="7" fillId="4" borderId="0" xfId="0" applyFont="1" applyFill="1"/>
    <xf numFmtId="0" fontId="8" fillId="0" borderId="0" xfId="0" applyFont="1"/>
    <xf numFmtId="0" fontId="9" fillId="0" borderId="0" xfId="0" applyFont="1"/>
    <xf numFmtId="164" fontId="6" fillId="0" borderId="0" xfId="0" applyNumberFormat="1" applyFont="1"/>
    <xf numFmtId="165" fontId="6" fillId="0" borderId="0" xfId="0" applyNumberFormat="1" applyFont="1"/>
    <xf numFmtId="0" fontId="10" fillId="5" borderId="0" xfId="0" applyFont="1" applyFill="1"/>
    <xf numFmtId="164" fontId="10" fillId="5" borderId="0" xfId="0" applyNumberFormat="1" applyFont="1" applyFill="1"/>
    <xf numFmtId="165" fontId="10" fillId="5" borderId="0" xfId="0" applyNumberFormat="1" applyFont="1" applyFill="1"/>
    <xf numFmtId="0" fontId="11" fillId="0" borderId="0" xfId="0" applyFont="1"/>
    <xf numFmtId="0" fontId="12" fillId="0" borderId="0" xfId="0" applyFont="1"/>
    <xf numFmtId="164" fontId="0" fillId="0" borderId="0" xfId="0" applyNumberFormat="1"/>
    <xf numFmtId="4" fontId="7" fillId="4" borderId="0" xfId="0" applyNumberFormat="1" applyFont="1" applyFill="1"/>
    <xf numFmtId="10" fontId="1" fillId="0" borderId="0" xfId="1" applyNumberFormat="1"/>
    <xf numFmtId="164" fontId="14" fillId="0" borderId="0" xfId="0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BF3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6"/>
  <sheetViews>
    <sheetView tabSelected="1" topLeftCell="A28" zoomScale="125" zoomScaleNormal="100" workbookViewId="0">
      <selection activeCell="F58" sqref="F58"/>
    </sheetView>
  </sheetViews>
  <sheetFormatPr baseColWidth="10" defaultColWidth="8.6640625" defaultRowHeight="15" x14ac:dyDescent="0.2"/>
  <cols>
    <col min="1" max="1" width="35" customWidth="1"/>
    <col min="2" max="2" width="18" customWidth="1"/>
    <col min="3" max="5" width="14" customWidth="1"/>
    <col min="6" max="6" width="40" customWidth="1"/>
  </cols>
  <sheetData>
    <row r="1" spans="1:6" ht="17" x14ac:dyDescent="0.2">
      <c r="A1" s="4" t="s">
        <v>0</v>
      </c>
      <c r="B1" s="4"/>
      <c r="C1" s="4"/>
      <c r="D1" s="4"/>
      <c r="E1" s="4"/>
      <c r="F1" s="4"/>
    </row>
    <row r="2" spans="1:6" x14ac:dyDescent="0.2">
      <c r="A2" s="3" t="s">
        <v>64</v>
      </c>
      <c r="B2" s="3"/>
      <c r="C2" s="3"/>
      <c r="D2" s="3"/>
      <c r="E2" s="3"/>
      <c r="F2" s="3"/>
    </row>
    <row r="4" spans="1:6" x14ac:dyDescent="0.2">
      <c r="A4" s="5" t="s">
        <v>1</v>
      </c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</row>
    <row r="5" spans="1:6" x14ac:dyDescent="0.2">
      <c r="A5" s="2" t="s">
        <v>7</v>
      </c>
      <c r="B5" s="2"/>
      <c r="C5" s="2"/>
      <c r="D5" s="2"/>
      <c r="E5" s="2"/>
      <c r="F5" s="2"/>
    </row>
    <row r="6" spans="1:6" x14ac:dyDescent="0.2">
      <c r="A6" s="6" t="s">
        <v>8</v>
      </c>
      <c r="B6" s="7">
        <v>200</v>
      </c>
      <c r="C6" t="s">
        <v>9</v>
      </c>
      <c r="F6" s="8"/>
    </row>
    <row r="8" spans="1:6" x14ac:dyDescent="0.2">
      <c r="A8" s="2" t="s">
        <v>10</v>
      </c>
      <c r="B8" s="2"/>
      <c r="C8" s="2"/>
      <c r="D8" s="2"/>
      <c r="E8" s="2"/>
      <c r="F8" s="2"/>
    </row>
    <row r="9" spans="1:6" x14ac:dyDescent="0.2">
      <c r="A9" s="6" t="s">
        <v>11</v>
      </c>
      <c r="B9" s="7">
        <v>1507</v>
      </c>
      <c r="C9" t="s">
        <v>12</v>
      </c>
      <c r="F9" s="8" t="s">
        <v>65</v>
      </c>
    </row>
    <row r="10" spans="1:6" x14ac:dyDescent="0.2">
      <c r="A10" s="6" t="s">
        <v>13</v>
      </c>
      <c r="B10" s="7">
        <v>26337</v>
      </c>
      <c r="C10" t="s">
        <v>14</v>
      </c>
      <c r="F10" s="8" t="s">
        <v>66</v>
      </c>
    </row>
    <row r="12" spans="1:6" x14ac:dyDescent="0.2">
      <c r="A12" s="2" t="s">
        <v>15</v>
      </c>
      <c r="B12" s="2"/>
      <c r="C12" s="2"/>
      <c r="D12" s="2"/>
      <c r="E12" s="2"/>
      <c r="F12" s="2"/>
    </row>
    <row r="13" spans="1:6" x14ac:dyDescent="0.2">
      <c r="A13" s="6" t="s">
        <v>67</v>
      </c>
      <c r="B13" s="18">
        <v>1587.44</v>
      </c>
      <c r="C13" s="9" t="s">
        <v>16</v>
      </c>
    </row>
    <row r="14" spans="1:6" x14ac:dyDescent="0.2">
      <c r="A14" s="6" t="s">
        <v>17</v>
      </c>
      <c r="B14" s="6">
        <f>((B13-B9)/B9)</f>
        <v>5.3377571333775749E-2</v>
      </c>
      <c r="C14" t="s">
        <v>18</v>
      </c>
      <c r="D14" s="10">
        <f>B6*B14</f>
        <v>10.675514266755149</v>
      </c>
      <c r="E14" s="11">
        <f>B14*100</f>
        <v>5.3377571333775746</v>
      </c>
      <c r="F14" s="8" t="s">
        <v>19</v>
      </c>
    </row>
    <row r="15" spans="1:6" x14ac:dyDescent="0.2">
      <c r="A15" s="6" t="s">
        <v>68</v>
      </c>
      <c r="B15" s="7">
        <f>D14*E15</f>
        <v>1.0675514266755151</v>
      </c>
      <c r="C15" t="s">
        <v>9</v>
      </c>
      <c r="D15" s="10">
        <f>B15</f>
        <v>1.0675514266755151</v>
      </c>
      <c r="E15" s="11">
        <v>0.1</v>
      </c>
      <c r="F15" s="8" t="s">
        <v>72</v>
      </c>
    </row>
    <row r="17" spans="1:6" x14ac:dyDescent="0.2">
      <c r="A17" s="2" t="s">
        <v>20</v>
      </c>
      <c r="B17" s="2"/>
      <c r="C17" s="2"/>
      <c r="D17" s="2"/>
      <c r="E17" s="2"/>
      <c r="F17" s="2"/>
    </row>
    <row r="18" spans="1:6" x14ac:dyDescent="0.2">
      <c r="A18" s="6" t="s">
        <v>21</v>
      </c>
      <c r="B18" s="7">
        <v>0.24</v>
      </c>
      <c r="C18" t="s">
        <v>22</v>
      </c>
      <c r="F18" s="8" t="s">
        <v>70</v>
      </c>
    </row>
    <row r="19" spans="1:6" x14ac:dyDescent="0.2">
      <c r="A19" s="6" t="s">
        <v>23</v>
      </c>
      <c r="B19" s="7">
        <v>65000</v>
      </c>
      <c r="C19" t="s">
        <v>24</v>
      </c>
      <c r="F19" s="8" t="s">
        <v>25</v>
      </c>
    </row>
    <row r="20" spans="1:6" x14ac:dyDescent="0.2">
      <c r="A20" s="6" t="s">
        <v>26</v>
      </c>
      <c r="B20" s="6">
        <f>B19*0.0001</f>
        <v>6.5</v>
      </c>
      <c r="C20" t="s">
        <v>27</v>
      </c>
      <c r="F20" s="8" t="s">
        <v>28</v>
      </c>
    </row>
    <row r="21" spans="1:6" x14ac:dyDescent="0.2">
      <c r="A21" s="6" t="s">
        <v>29</v>
      </c>
      <c r="B21" s="6">
        <f>B20*B18</f>
        <v>1.56</v>
      </c>
      <c r="C21" t="s">
        <v>9</v>
      </c>
      <c r="D21" s="10">
        <f>B21</f>
        <v>1.56</v>
      </c>
      <c r="E21" s="11">
        <f>(B21/B6)*100</f>
        <v>0.78</v>
      </c>
      <c r="F21" s="8" t="s">
        <v>30</v>
      </c>
    </row>
    <row r="23" spans="1:6" x14ac:dyDescent="0.2">
      <c r="A23" s="2" t="s">
        <v>31</v>
      </c>
      <c r="B23" s="2"/>
      <c r="C23" s="2"/>
      <c r="D23" s="2"/>
      <c r="E23" s="2"/>
      <c r="F23" s="2"/>
    </row>
    <row r="24" spans="1:6" x14ac:dyDescent="0.2">
      <c r="A24" s="6" t="s">
        <v>32</v>
      </c>
      <c r="B24" s="7">
        <v>28100</v>
      </c>
      <c r="C24" s="9" t="s">
        <v>33</v>
      </c>
    </row>
    <row r="25" spans="1:6" x14ac:dyDescent="0.2">
      <c r="A25" s="6" t="s">
        <v>34</v>
      </c>
      <c r="B25" s="6">
        <f>((B10-B24)/B10)</f>
        <v>-6.6940046322663926E-2</v>
      </c>
      <c r="C25" t="s">
        <v>18</v>
      </c>
      <c r="D25" s="10">
        <v>0</v>
      </c>
      <c r="E25" s="11">
        <v>0</v>
      </c>
      <c r="F25" s="8" t="s">
        <v>69</v>
      </c>
    </row>
    <row r="27" spans="1:6" x14ac:dyDescent="0.2">
      <c r="A27" s="2" t="s">
        <v>35</v>
      </c>
      <c r="B27" s="2"/>
      <c r="C27" s="2"/>
      <c r="D27" s="2"/>
      <c r="E27" s="2"/>
      <c r="F27" s="2"/>
    </row>
    <row r="28" spans="1:6" x14ac:dyDescent="0.2">
      <c r="A28" s="6" t="s">
        <v>36</v>
      </c>
      <c r="D28" s="10">
        <f>D14+D15</f>
        <v>11.743065693430664</v>
      </c>
      <c r="E28" s="11">
        <f>E14+E15</f>
        <v>5.4377571333775743</v>
      </c>
    </row>
    <row r="29" spans="1:6" x14ac:dyDescent="0.2">
      <c r="A29" s="6" t="s">
        <v>37</v>
      </c>
      <c r="D29" s="10">
        <f>D21</f>
        <v>1.56</v>
      </c>
      <c r="E29" s="11">
        <f>E21</f>
        <v>0.78</v>
      </c>
    </row>
    <row r="30" spans="1:6" x14ac:dyDescent="0.2">
      <c r="A30" s="6" t="s">
        <v>38</v>
      </c>
      <c r="D30" s="10">
        <f>D25</f>
        <v>0</v>
      </c>
      <c r="E30" s="11">
        <f>E25</f>
        <v>0</v>
      </c>
    </row>
    <row r="31" spans="1:6" x14ac:dyDescent="0.2">
      <c r="A31" s="12" t="s">
        <v>39</v>
      </c>
      <c r="D31" s="13">
        <f>D28+D29+D30</f>
        <v>13.303065693430664</v>
      </c>
      <c r="E31" s="14">
        <f>E28+E29+E30</f>
        <v>6.2177571333775745</v>
      </c>
    </row>
    <row r="33" spans="1:6" x14ac:dyDescent="0.2">
      <c r="A33" s="2" t="s">
        <v>40</v>
      </c>
      <c r="B33" s="2"/>
      <c r="C33" s="2"/>
      <c r="D33" s="2"/>
      <c r="E33" s="2"/>
      <c r="F33" s="2"/>
    </row>
    <row r="34" spans="1:6" x14ac:dyDescent="0.2">
      <c r="A34" s="15" t="s">
        <v>41</v>
      </c>
      <c r="B34" s="15" t="s">
        <v>42</v>
      </c>
      <c r="D34" s="15" t="s">
        <v>43</v>
      </c>
      <c r="F34" s="15" t="s">
        <v>44</v>
      </c>
    </row>
    <row r="35" spans="1:6" x14ac:dyDescent="0.2">
      <c r="A35" s="16" t="s">
        <v>45</v>
      </c>
      <c r="B35" s="19">
        <v>2.01E-2</v>
      </c>
      <c r="D35" s="10">
        <f>B$6*B35</f>
        <v>4.0199999999999996</v>
      </c>
      <c r="F35" s="9" t="s">
        <v>46</v>
      </c>
    </row>
    <row r="36" spans="1:6" x14ac:dyDescent="0.2">
      <c r="A36" s="16" t="s">
        <v>47</v>
      </c>
      <c r="B36" s="19">
        <v>3.0800000000000001E-2</v>
      </c>
      <c r="D36" s="10">
        <f t="shared" ref="D36:D39" si="0">B$6*B36</f>
        <v>6.16</v>
      </c>
      <c r="F36" s="9" t="s">
        <v>48</v>
      </c>
    </row>
    <row r="37" spans="1:6" x14ac:dyDescent="0.2">
      <c r="A37" s="16" t="s">
        <v>49</v>
      </c>
      <c r="B37" s="19">
        <v>3.1300000000000001E-2</v>
      </c>
      <c r="D37" s="10">
        <f t="shared" si="0"/>
        <v>6.2600000000000007</v>
      </c>
      <c r="F37" s="9" t="s">
        <v>50</v>
      </c>
    </row>
    <row r="38" spans="1:6" x14ac:dyDescent="0.2">
      <c r="A38" s="16" t="s">
        <v>51</v>
      </c>
      <c r="B38" s="19">
        <v>5.1499999999999997E-2</v>
      </c>
      <c r="D38" s="10">
        <f t="shared" si="0"/>
        <v>10.299999999999999</v>
      </c>
      <c r="F38" s="9" t="s">
        <v>52</v>
      </c>
    </row>
    <row r="39" spans="1:6" x14ac:dyDescent="0.2">
      <c r="A39" s="16" t="s">
        <v>53</v>
      </c>
      <c r="B39" s="19">
        <v>9.9400000000000002E-2</v>
      </c>
      <c r="D39" s="10">
        <f t="shared" si="0"/>
        <v>19.88</v>
      </c>
      <c r="F39" s="9" t="s">
        <v>54</v>
      </c>
    </row>
    <row r="40" spans="1:6" x14ac:dyDescent="0.2">
      <c r="A40" s="8" t="s">
        <v>71</v>
      </c>
    </row>
    <row r="42" spans="1:6" x14ac:dyDescent="0.2">
      <c r="A42" s="2" t="s">
        <v>55</v>
      </c>
      <c r="B42" s="2"/>
      <c r="C42" s="2"/>
      <c r="D42" s="2"/>
      <c r="E42" s="2"/>
      <c r="F42" s="2"/>
    </row>
    <row r="43" spans="1:6" x14ac:dyDescent="0.2">
      <c r="A43" s="6" t="s">
        <v>56</v>
      </c>
      <c r="B43" s="19">
        <f>6.22%</f>
        <v>6.2199999999999998E-2</v>
      </c>
      <c r="D43" s="10">
        <f>D31</f>
        <v>13.303065693430664</v>
      </c>
    </row>
    <row r="44" spans="1:6" x14ac:dyDescent="0.2">
      <c r="A44" s="6" t="s">
        <v>57</v>
      </c>
      <c r="B44" s="19">
        <v>2.01E-2</v>
      </c>
      <c r="D44" s="17">
        <v>4.0199999999999996</v>
      </c>
    </row>
    <row r="45" spans="1:6" x14ac:dyDescent="0.2">
      <c r="A45" s="6" t="s">
        <v>58</v>
      </c>
      <c r="B45" s="19">
        <v>5.1499999999999997E-2</v>
      </c>
      <c r="D45" s="17">
        <f>D38</f>
        <v>10.299999999999999</v>
      </c>
    </row>
    <row r="46" spans="1:6" x14ac:dyDescent="0.2">
      <c r="A46" s="6" t="s">
        <v>59</v>
      </c>
      <c r="D46" s="20">
        <f>D31-D45</f>
        <v>3.0030656934306652</v>
      </c>
      <c r="F46" s="8" t="s">
        <v>79</v>
      </c>
    </row>
    <row r="47" spans="1:6" x14ac:dyDescent="0.2">
      <c r="A47" s="6" t="s">
        <v>60</v>
      </c>
      <c r="D47" s="20">
        <f>D31-D44</f>
        <v>9.2830656934306646</v>
      </c>
      <c r="F47" s="8" t="s">
        <v>61</v>
      </c>
    </row>
    <row r="49" spans="1:6" x14ac:dyDescent="0.2">
      <c r="A49" s="2" t="s">
        <v>62</v>
      </c>
      <c r="B49" s="2"/>
      <c r="C49" s="2"/>
      <c r="D49" s="2"/>
      <c r="E49" s="2"/>
      <c r="F49" s="2"/>
    </row>
    <row r="50" spans="1:6" x14ac:dyDescent="0.2">
      <c r="A50" s="1" t="s">
        <v>73</v>
      </c>
      <c r="B50" s="1"/>
      <c r="C50" s="1"/>
      <c r="D50" s="1"/>
      <c r="E50" s="1"/>
      <c r="F50" s="1"/>
    </row>
    <row r="51" spans="1:6" x14ac:dyDescent="0.2">
      <c r="A51" s="1" t="s">
        <v>63</v>
      </c>
      <c r="B51" s="1"/>
      <c r="C51" s="1"/>
      <c r="D51" s="1"/>
      <c r="E51" s="1"/>
      <c r="F51" s="1"/>
    </row>
    <row r="52" spans="1:6" x14ac:dyDescent="0.2">
      <c r="A52" s="1" t="s">
        <v>74</v>
      </c>
      <c r="B52" s="1"/>
      <c r="C52" s="1"/>
      <c r="D52" s="1"/>
      <c r="E52" s="1"/>
      <c r="F52" s="1"/>
    </row>
    <row r="53" spans="1:6" x14ac:dyDescent="0.2">
      <c r="A53" s="1" t="s">
        <v>75</v>
      </c>
      <c r="B53" s="1"/>
      <c r="C53" s="1"/>
      <c r="D53" s="1"/>
      <c r="E53" s="1"/>
      <c r="F53" s="1"/>
    </row>
    <row r="54" spans="1:6" x14ac:dyDescent="0.2">
      <c r="A54" s="1" t="s">
        <v>76</v>
      </c>
      <c r="B54" s="1"/>
      <c r="C54" s="1"/>
      <c r="D54" s="1"/>
      <c r="E54" s="1"/>
      <c r="F54" s="1"/>
    </row>
    <row r="55" spans="1:6" x14ac:dyDescent="0.2">
      <c r="A55" s="1" t="s">
        <v>77</v>
      </c>
      <c r="B55" s="1"/>
      <c r="C55" s="1"/>
      <c r="D55" s="1"/>
      <c r="E55" s="1"/>
      <c r="F55" s="1"/>
    </row>
    <row r="56" spans="1:6" x14ac:dyDescent="0.2">
      <c r="A56" s="1" t="s">
        <v>78</v>
      </c>
      <c r="B56" s="1"/>
      <c r="C56" s="1"/>
      <c r="D56" s="1"/>
      <c r="E56" s="1"/>
      <c r="F56" s="1"/>
    </row>
  </sheetData>
  <mergeCells count="18">
    <mergeCell ref="A54:F54"/>
    <mergeCell ref="A55:F55"/>
    <mergeCell ref="A56:F56"/>
    <mergeCell ref="A49:F49"/>
    <mergeCell ref="A50:F50"/>
    <mergeCell ref="A51:F51"/>
    <mergeCell ref="A52:F52"/>
    <mergeCell ref="A53:F53"/>
    <mergeCell ref="A17:F17"/>
    <mergeCell ref="A23:F23"/>
    <mergeCell ref="A27:F27"/>
    <mergeCell ref="A33:F33"/>
    <mergeCell ref="A42:F42"/>
    <mergeCell ref="A1:F1"/>
    <mergeCell ref="A2:F2"/>
    <mergeCell ref="A5:F5"/>
    <mergeCell ref="A8:F8"/>
    <mergeCell ref="A12:F1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Assumptions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Ochirgardi Tugsbilguun</cp:lastModifiedBy>
  <cp:revision>0</cp:revision>
  <dcterms:created xsi:type="dcterms:W3CDTF">2026-03-29T20:52:00Z</dcterms:created>
  <dcterms:modified xsi:type="dcterms:W3CDTF">2026-03-30T03:27:37Z</dcterms:modified>
  <dc:language>en-US</dc:language>
</cp:coreProperties>
</file>